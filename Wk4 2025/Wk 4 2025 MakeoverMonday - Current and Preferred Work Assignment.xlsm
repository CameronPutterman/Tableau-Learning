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camputterman/Downloads/"/>
    </mc:Choice>
  </mc:AlternateContent>
  <xr:revisionPtr revIDLastSave="0" documentId="13_ncr:9_{AEF4585F-EA26-0245-83FE-23D27A720D65}" xr6:coauthVersionLast="47" xr6:coauthVersionMax="47" xr10:uidLastSave="{00000000-0000-0000-0000-000000000000}"/>
  <bookViews>
    <workbookView xWindow="20" yWindow="500" windowWidth="28780" windowHeight="16400" activeTab="2" xr2:uid="{D11F83C0-5FB6-C24C-9143-53879FB98AA5}"/>
  </bookViews>
  <sheets>
    <sheet name="Change" sheetId="5" r:id="rId1"/>
    <sheet name="Breakdown" sheetId="2" r:id="rId2"/>
    <sheet name="Content" sheetId="4" r:id="rId3"/>
  </sheets>
  <definedNames>
    <definedName name="_xleta.SHEET" hidden="1" xlm="1">#NAME?</definedName>
    <definedName name="_xleta.VLOOKU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" l="1"/>
  <c r="A3" i="4"/>
  <c r="A4" i="4"/>
  <c r="A5" i="4"/>
  <c r="A6" i="4"/>
  <c r="A7" i="4"/>
  <c r="A2" i="2"/>
  <c r="A3" i="2"/>
  <c r="A4" i="2"/>
  <c r="A5" i="2"/>
  <c r="A6" i="2"/>
  <c r="A7" i="2"/>
  <c r="A8" i="2"/>
  <c r="D8" i="2" s="1"/>
  <c r="A9" i="2"/>
  <c r="A10" i="2"/>
  <c r="D2" i="2"/>
  <c r="D3" i="2"/>
  <c r="D5" i="2"/>
  <c r="D6" i="2"/>
  <c r="D7" i="2"/>
  <c r="D4" i="2"/>
  <c r="D9" i="2"/>
  <c r="D10" i="2"/>
</calcChain>
</file>

<file path=xl/sharedStrings.xml><?xml version="1.0" encoding="utf-8"?>
<sst xmlns="http://schemas.openxmlformats.org/spreadsheetml/2006/main" count="47" uniqueCount="14">
  <si>
    <t>Onsite</t>
  </si>
  <si>
    <t>Hybrid</t>
  </si>
  <si>
    <t>Remote</t>
  </si>
  <si>
    <t>percentage_change</t>
  </si>
  <si>
    <t>current_arrangement</t>
  </si>
  <si>
    <t>category</t>
  </si>
  <si>
    <t>preferred_arrangement</t>
  </si>
  <si>
    <t>content/uncontent</t>
  </si>
  <si>
    <t>Uncontent</t>
  </si>
  <si>
    <t>Content</t>
  </si>
  <si>
    <t>percentage_breakdown</t>
  </si>
  <si>
    <t>percent_content/uncontent</t>
  </si>
  <si>
    <t>breakdown</t>
  </si>
  <si>
    <t>category_id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</si>
</sst>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indexed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8">
    <xf numFmtId="0" fontId="0" fillId="0" borderId="0" xfId="0"/>
    <xf numFmtId="0" fontId="19" fillId="0" borderId="0" xfId="0" applyFont="1"/>
    <xf numFmtId="0" fontId="20" fillId="0" borderId="0" xfId="43" applyFont="1"/>
    <xf numFmtId="2" fontId="20" fillId="0" borderId="0" xfId="43" applyNumberFormat="1" applyFont="1"/>
    <xf numFmtId="1" fontId="19" fillId="0" borderId="0" xfId="0" applyNumberFormat="1" applyFont="1"/>
    <xf numFmtId="1" fontId="0" fillId="0" borderId="0" xfId="0" applyNumberFormat="1"/>
    <xf numFmtId="0" fontId="19" fillId="0" borderId="0" xfId="1" applyNumberFormat="1" applyFont="1"/>
    <xf numFmtId="0" fontId="19" fillId="0" borderId="0" xfId="0" applyNumberFormat="1" applyFont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384348A5-E5DD-BA43-AC70-4F4BE7026C04}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DFB8C-2505-F542-9C80-0283911A5C5A}">
  <dimension ref="A1:E4"/>
  <sheetViews>
    <sheetView workbookViewId="0">
      <selection sqref="A1:A1048576"/>
    </sheetView>
  </sheetViews>
  <sheetFormatPr baseColWidth="10" defaultRowHeight="16" x14ac:dyDescent="0.2"/>
  <cols>
    <col min="1" max="1" width="11.83203125" bestFit="1" customWidth="1"/>
    <col min="2" max="2" width="9.1640625" bestFit="1" customWidth="1"/>
    <col min="3" max="3" width="20.83203125" bestFit="1" customWidth="1"/>
    <col min="4" max="4" width="22.83203125" bestFit="1" customWidth="1"/>
    <col min="5" max="5" width="19.6640625" bestFit="1" customWidth="1"/>
  </cols>
  <sheetData>
    <row r="1" spans="1:5" ht="19" x14ac:dyDescent="0.25">
      <c r="A1" s="2" t="s">
        <v>13</v>
      </c>
      <c r="B1" s="2" t="s">
        <v>5</v>
      </c>
      <c r="C1" s="2" t="s">
        <v>4</v>
      </c>
      <c r="D1" s="2" t="s">
        <v>6</v>
      </c>
      <c r="E1" s="2" t="s">
        <v>3</v>
      </c>
    </row>
    <row r="2" spans="1:5" ht="19" x14ac:dyDescent="0.25">
      <c r="A2" s="2">
        <v>1</v>
      </c>
      <c r="B2" s="2" t="s">
        <v>0</v>
      </c>
      <c r="C2" s="2">
        <v>11</v>
      </c>
      <c r="D2" s="2">
        <v>6</v>
      </c>
      <c r="E2" s="3">
        <v>-45.454545454545503</v>
      </c>
    </row>
    <row r="3" spans="1:5" ht="19" x14ac:dyDescent="0.25">
      <c r="A3" s="2">
        <v>2</v>
      </c>
      <c r="B3" s="2" t="s">
        <v>1</v>
      </c>
      <c r="C3" s="2">
        <v>39</v>
      </c>
      <c r="D3" s="2">
        <v>40</v>
      </c>
      <c r="E3" s="3">
        <v>2.5641025641025643</v>
      </c>
    </row>
    <row r="4" spans="1:5" ht="19" x14ac:dyDescent="0.25">
      <c r="A4" s="2">
        <v>3</v>
      </c>
      <c r="B4" s="2" t="s">
        <v>2</v>
      </c>
      <c r="C4" s="2">
        <v>49</v>
      </c>
      <c r="D4" s="2">
        <v>54</v>
      </c>
      <c r="E4" s="3">
        <v>10.204081632653061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04BF8-5C59-4F44-845C-DA244DC539BC}">
  <dimension ref="A1:G10"/>
  <sheetViews>
    <sheetView workbookViewId="0">
      <selection sqref="A1:A1048576"/>
    </sheetView>
  </sheetViews>
  <sheetFormatPr baseColWidth="10" defaultRowHeight="19" x14ac:dyDescent="0.25"/>
  <cols>
    <col min="1" max="1" width="11.83203125" style="1" bestFit="1" customWidth="1"/>
    <col min="2" max="2" width="20.83203125" bestFit="1" customWidth="1"/>
    <col min="3" max="3" width="22.83203125" bestFit="1" customWidth="1"/>
    <col min="4" max="4" width="22.83203125" style="5" customWidth="1"/>
    <col min="5" max="5" width="23.1640625" bestFit="1" customWidth="1"/>
    <col min="7" max="7" width="20.83203125" bestFit="1" customWidth="1"/>
    <col min="8" max="8" width="18.6640625" bestFit="1" customWidth="1"/>
    <col min="9" max="9" width="27.1640625" bestFit="1" customWidth="1"/>
  </cols>
  <sheetData>
    <row r="1" spans="1:7" x14ac:dyDescent="0.25">
      <c r="A1" s="1" t="s">
        <v>13</v>
      </c>
      <c r="B1" s="1" t="s">
        <v>4</v>
      </c>
      <c r="C1" s="1" t="s">
        <v>6</v>
      </c>
      <c r="D1" s="4" t="s">
        <v>12</v>
      </c>
      <c r="E1" s="1" t="s">
        <v>10</v>
      </c>
      <c r="G1" s="1"/>
    </row>
    <row r="2" spans="1:7" x14ac:dyDescent="0.25">
      <c r="A2" s="1">
        <f>IF(B2="Onsite", 1, IF(B2="Hybrid", 2, IF(B2="Remote", 3)))</f>
        <v>1</v>
      </c>
      <c r="B2" s="1" t="s">
        <v>0</v>
      </c>
      <c r="C2" s="1" t="s">
        <v>1</v>
      </c>
      <c r="D2" s="4">
        <f>E2*_xlfn.XLOOKUP(A3,Change!$A$2:$A$4, Change!$C$2:$C$4, FALSE) / 100</f>
        <v>3.96</v>
      </c>
      <c r="E2">
        <v>36</v>
      </c>
    </row>
    <row r="3" spans="1:7" x14ac:dyDescent="0.25">
      <c r="A3" s="1">
        <f>IF(B3="Onsite", 1, IF(B3="Hybrid", 2, IF(B3="Remote", 3)))</f>
        <v>1</v>
      </c>
      <c r="B3" s="1" t="s">
        <v>0</v>
      </c>
      <c r="C3" s="1" t="s">
        <v>0</v>
      </c>
      <c r="D3" s="4">
        <f>E3*_xlfn.XLOOKUP(B3,Change!$B$2:$B$4,Change!$C$2:$C$4, FALSE) / 100</f>
        <v>3.96</v>
      </c>
      <c r="E3">
        <v>36</v>
      </c>
    </row>
    <row r="4" spans="1:7" x14ac:dyDescent="0.25">
      <c r="A4" s="1">
        <f>IF(B4="Onsite", 1, IF(B4="Hybrid", 2, IF(B4="Remote", 3)))</f>
        <v>1</v>
      </c>
      <c r="B4" s="1" t="s">
        <v>0</v>
      </c>
      <c r="C4" s="1" t="s">
        <v>2</v>
      </c>
      <c r="D4" s="4">
        <f>E4*_xlfn.XLOOKUP(B4,Change!$B$2:$B$4,Change!$C$2:$C$4, FALSE) / 100</f>
        <v>2.97</v>
      </c>
      <c r="E4">
        <v>27</v>
      </c>
    </row>
    <row r="5" spans="1:7" x14ac:dyDescent="0.25">
      <c r="A5" s="1">
        <f>IF(B5="Onsite", 1, IF(B5="Hybrid", 2, IF(B5="Remote", 3)))</f>
        <v>2</v>
      </c>
      <c r="B5" s="1" t="s">
        <v>1</v>
      </c>
      <c r="C5" s="1" t="s">
        <v>1</v>
      </c>
      <c r="D5" s="4">
        <f>E5*_xlfn.XLOOKUP(B5,Change!$B$2:$B$4,Change!$C$2:$C$4, FALSE) / 100</f>
        <v>26.91</v>
      </c>
      <c r="E5">
        <v>69</v>
      </c>
    </row>
    <row r="6" spans="1:7" x14ac:dyDescent="0.25">
      <c r="A6" s="1">
        <f>IF(B6="Onsite", 1, IF(B6="Hybrid", 2, IF(B6="Remote", 3)))</f>
        <v>2</v>
      </c>
      <c r="B6" s="1" t="s">
        <v>1</v>
      </c>
      <c r="C6" s="1" t="s">
        <v>0</v>
      </c>
      <c r="D6" s="4">
        <f>E6*_xlfn.XLOOKUP(B6,Change!$B$2:$B$4,Change!$C$2:$C$4, FALSE) / 100</f>
        <v>0.78</v>
      </c>
      <c r="E6">
        <v>2</v>
      </c>
    </row>
    <row r="7" spans="1:7" x14ac:dyDescent="0.25">
      <c r="A7" s="1">
        <f>IF(B7="Onsite", 1, IF(B7="Hybrid", 2, IF(B7="Remote", 3)))</f>
        <v>2</v>
      </c>
      <c r="B7" s="1" t="s">
        <v>1</v>
      </c>
      <c r="C7" s="1" t="s">
        <v>2</v>
      </c>
      <c r="D7" s="4">
        <f>E7*_xlfn.XLOOKUP(B7,Change!$B$2:$B$4,Change!$C$2:$C$4, FALSE) / 100</f>
        <v>10.920000000000002</v>
      </c>
      <c r="E7">
        <v>28.000000000000004</v>
      </c>
    </row>
    <row r="8" spans="1:7" x14ac:dyDescent="0.25">
      <c r="A8" s="1">
        <f>IF(B8="Onsite", 1, IF(B8="Hybrid", 2, IF(B8="Remote", 3)))</f>
        <v>3</v>
      </c>
      <c r="B8" s="1" t="s">
        <v>2</v>
      </c>
      <c r="C8" s="1" t="s">
        <v>1</v>
      </c>
      <c r="D8" s="4">
        <f>E8*_xlfn.XLOOKUP(A8,Change!$A$2:$A$4,Change!$C$2:$C$4, FALSE) / 100</f>
        <v>8.82</v>
      </c>
      <c r="E8">
        <v>18</v>
      </c>
    </row>
    <row r="9" spans="1:7" x14ac:dyDescent="0.25">
      <c r="A9" s="1">
        <f>IF(B9="Onsite", 1, IF(B9="Hybrid", 2, IF(B9="Remote", 3)))</f>
        <v>3</v>
      </c>
      <c r="B9" s="1" t="s">
        <v>2</v>
      </c>
      <c r="C9" s="1" t="s">
        <v>0</v>
      </c>
      <c r="D9" s="4">
        <f>E9*_xlfn.XLOOKUP(B9,Change!$B$2:$B$4,Change!$C$2:$C$4, FALSE) / 100</f>
        <v>0.98</v>
      </c>
      <c r="E9">
        <v>2</v>
      </c>
    </row>
    <row r="10" spans="1:7" x14ac:dyDescent="0.25">
      <c r="A10" s="1">
        <f>IF(B10="Onsite", 1, IF(B10="Hybrid", 2, IF(B10="Remote", 3)))</f>
        <v>3</v>
      </c>
      <c r="B10" s="1" t="s">
        <v>2</v>
      </c>
      <c r="C10" s="1" t="s">
        <v>2</v>
      </c>
      <c r="D10" s="4">
        <f>E10*_xlfn.XLOOKUP(B10,Change!$B$2:$B$4,Change!$C$2:$C$4, FALSE) / 100</f>
        <v>39.69</v>
      </c>
      <c r="E10">
        <v>81</v>
      </c>
    </row>
  </sheetData>
  <sortState xmlns:xlrd2="http://schemas.microsoft.com/office/spreadsheetml/2017/richdata2" ref="A2:E10">
    <sortCondition ref="A1:A10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296A9-5443-E849-BA5F-D6482C62E441}">
  <dimension ref="A1:D7"/>
  <sheetViews>
    <sheetView tabSelected="1" workbookViewId="0">
      <selection activeCell="E9" sqref="E9"/>
    </sheetView>
  </sheetViews>
  <sheetFormatPr baseColWidth="10" defaultRowHeight="19" x14ac:dyDescent="0.25"/>
  <cols>
    <col min="1" max="1" width="11.83203125" style="1" bestFit="1" customWidth="1"/>
    <col min="2" max="2" width="20.83203125" bestFit="1" customWidth="1"/>
    <col min="3" max="3" width="18.6640625" bestFit="1" customWidth="1"/>
    <col min="4" max="4" width="27.1640625" style="7" bestFit="1" customWidth="1"/>
  </cols>
  <sheetData>
    <row r="1" spans="1:4" x14ac:dyDescent="0.25">
      <c r="A1" s="1" t="s">
        <v>13</v>
      </c>
      <c r="B1" s="1" t="s">
        <v>4</v>
      </c>
      <c r="C1" s="1" t="s">
        <v>7</v>
      </c>
      <c r="D1" s="6" t="s">
        <v>11</v>
      </c>
    </row>
    <row r="2" spans="1:4" x14ac:dyDescent="0.25">
      <c r="A2" s="1">
        <f>IF(B2="Onsite", 1, IF(B2="Hybrid", 2, IF(B2="Remote", 3)))</f>
        <v>1</v>
      </c>
      <c r="B2" t="s">
        <v>0</v>
      </c>
      <c r="C2" s="1" t="s">
        <v>9</v>
      </c>
      <c r="D2" s="1">
        <v>36</v>
      </c>
    </row>
    <row r="3" spans="1:4" x14ac:dyDescent="0.25">
      <c r="A3" s="1">
        <f>IF(B3="Onsite", 1, IF(B3="Hybrid", 2, IF(B3="Remote", 3)))</f>
        <v>1</v>
      </c>
      <c r="B3" t="s">
        <v>0</v>
      </c>
      <c r="C3" s="1" t="s">
        <v>8</v>
      </c>
      <c r="D3" s="1">
        <v>64</v>
      </c>
    </row>
    <row r="4" spans="1:4" x14ac:dyDescent="0.25">
      <c r="A4" s="1">
        <f>IF(B4="Onsite", 1, IF(B4="Hybrid", 2, IF(B4="Remote", 3)))</f>
        <v>2</v>
      </c>
      <c r="B4" t="s">
        <v>1</v>
      </c>
      <c r="C4" s="1" t="s">
        <v>9</v>
      </c>
      <c r="D4" s="1">
        <v>69</v>
      </c>
    </row>
    <row r="5" spans="1:4" x14ac:dyDescent="0.25">
      <c r="A5" s="1">
        <f>IF(B5="Onsite", 1, IF(B5="Hybrid", 2, IF(B5="Remote", 3)))</f>
        <v>2</v>
      </c>
      <c r="B5" t="s">
        <v>1</v>
      </c>
      <c r="C5" s="1" t="s">
        <v>8</v>
      </c>
      <c r="D5" s="1">
        <v>31</v>
      </c>
    </row>
    <row r="6" spans="1:4" x14ac:dyDescent="0.25">
      <c r="A6" s="1">
        <f>IF(B6="Onsite", 1, IF(B6="Hybrid", 2, IF(B6="Remote", 3)))</f>
        <v>3</v>
      </c>
      <c r="B6" t="s">
        <v>2</v>
      </c>
      <c r="C6" s="1" t="s">
        <v>9</v>
      </c>
      <c r="D6" s="1">
        <v>81</v>
      </c>
    </row>
    <row r="7" spans="1:4" x14ac:dyDescent="0.25">
      <c r="A7" s="1">
        <f>IF(B7="Onsite", 1, IF(B7="Hybrid", 2, IF(B7="Remote", 3)))</f>
        <v>3</v>
      </c>
      <c r="B7" t="s">
        <v>2</v>
      </c>
      <c r="C7" s="1" t="s">
        <v>8</v>
      </c>
      <c r="D7" s="1">
        <v>19</v>
      </c>
    </row>
  </sheetData>
  <sortState xmlns:xlrd2="http://schemas.microsoft.com/office/spreadsheetml/2017/richdata2" ref="A2:D11">
    <sortCondition ref="A1:A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Change</vt:lpstr>
      <vt:lpstr>Breakdown</vt:lpstr>
      <vt:lpstr>Content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Putterman</dc:creator>
  <cp:lastModifiedBy>Cameron Putterman</cp:lastModifiedBy>
  <dcterms:created xsi:type="dcterms:W3CDTF">2025-01-23T21:06:34Z</dcterms:created>
  <dcterms:modified xsi:type="dcterms:W3CDTF">2025-01-24T09:33:41Z</dcterms:modified>
</cp:coreProperties>
</file>